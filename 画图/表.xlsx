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大学\大二下\集创赛\Hydra2025\画图\"/>
    </mc:Choice>
  </mc:AlternateContent>
  <xr:revisionPtr revIDLastSave="0" documentId="13_ncr:1_{DA735D18-441F-4772-B9A1-A6B81BFAB695}" xr6:coauthVersionLast="47" xr6:coauthVersionMax="47" xr10:uidLastSave="{00000000-0000-0000-0000-000000000000}"/>
  <bookViews>
    <workbookView xWindow="-108" yWindow="-108" windowWidth="30936" windowHeight="16776" activeTab="2" xr2:uid="{94A6D8FC-5520-4E29-94E5-38DF465D3E81}"/>
  </bookViews>
  <sheets>
    <sheet name="Sheet1" sheetId="1" r:id="rId1"/>
    <sheet name="Sheet2" sheetId="2" r:id="rId2"/>
    <sheet name="幅值估计算法" sheetId="4" r:id="rId3"/>
    <sheet name="Sheet3" sheetId="3" r:id="rId4"/>
  </sheets>
  <definedNames>
    <definedName name="ExternalData_1" localSheetId="2" hidden="1">幅值估计算法!$B$3:$D$12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H5" i="1" s="1"/>
  <c r="G6" i="1"/>
  <c r="G7" i="1"/>
  <c r="G8" i="1"/>
  <c r="H8" i="1" s="1"/>
  <c r="G9" i="1"/>
  <c r="H4" i="1"/>
  <c r="H6" i="1"/>
  <c r="H7" i="1"/>
  <c r="H9" i="1"/>
  <c r="H3" i="1"/>
  <c r="G3" i="1"/>
  <c r="F3" i="1"/>
  <c r="F5" i="1"/>
  <c r="F6" i="1"/>
  <c r="F7" i="1"/>
  <c r="F8" i="1"/>
  <c r="F9" i="1"/>
  <c r="F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CDEE48-28CF-4CC7-A945-27D15A0B3794}" keepAlive="1" name="查询 - Min RMS Err      0 947543636291 0 3" description="与工作簿中“Min RMS Err      0 947543636291 0 3”查询的连接。" type="5" refreshedVersion="8" background="1" saveData="1">
    <dbPr connection="Provider=Microsoft.Mashup.OleDb.1;Data Source=$Workbook$;Location=&quot;Min RMS Err      0 947543636291 0 3&quot;;Extended Properties=&quot;&quot;" command="SELECT * FROM [Min RMS Err      0 947543636291 0 3]"/>
  </connection>
</connections>
</file>

<file path=xl/sharedStrings.xml><?xml version="1.0" encoding="utf-8"?>
<sst xmlns="http://schemas.openxmlformats.org/spreadsheetml/2006/main" count="40" uniqueCount="29">
  <si>
    <t>发射端</t>
    <phoneticPr fontId="1" type="noConversion"/>
  </si>
  <si>
    <t>接收端</t>
    <phoneticPr fontId="1" type="noConversion"/>
  </si>
  <si>
    <t>速度</t>
    <phoneticPr fontId="1" type="noConversion"/>
  </si>
  <si>
    <t>距离</t>
    <phoneticPr fontId="1" type="noConversion"/>
  </si>
  <si>
    <t>运算周期数</t>
    <phoneticPr fontId="1" type="noConversion"/>
  </si>
  <si>
    <t>每帧时间(ms)</t>
    <phoneticPr fontId="1" type="noConversion"/>
  </si>
  <si>
    <t>帧率(fps)</t>
    <phoneticPr fontId="1" type="noConversion"/>
  </si>
  <si>
    <t>目标数</t>
    <phoneticPr fontId="1" type="noConversion"/>
  </si>
  <si>
    <t>检出目标数</t>
    <phoneticPr fontId="1" type="noConversion"/>
  </si>
  <si>
    <t>误报数</t>
    <phoneticPr fontId="1" type="noConversion"/>
  </si>
  <si>
    <t>漏检数</t>
    <phoneticPr fontId="1" type="noConversion"/>
  </si>
  <si>
    <t>准确率</t>
    <phoneticPr fontId="1" type="noConversion"/>
  </si>
  <si>
    <t>RMS(dB)</t>
    <phoneticPr fontId="1" type="noConversion"/>
  </si>
  <si>
    <t>最大误差(dB)</t>
    <phoneticPr fontId="1" type="noConversion"/>
  </si>
  <si>
    <t>√</t>
    <phoneticPr fontId="1" type="noConversion"/>
  </si>
  <si>
    <t>1, 1/2</t>
    <phoneticPr fontId="1" type="noConversion"/>
  </si>
  <si>
    <t>1, 1/4</t>
    <phoneticPr fontId="1" type="noConversion"/>
  </si>
  <si>
    <t>1, 11/32</t>
    <phoneticPr fontId="1" type="noConversion"/>
  </si>
  <si>
    <t>1, 3/8</t>
    <phoneticPr fontId="1" type="noConversion"/>
  </si>
  <si>
    <t>15/16, 15/32</t>
    <phoneticPr fontId="1" type="noConversion"/>
  </si>
  <si>
    <t>15/16, 1/2</t>
    <phoneticPr fontId="1" type="noConversion"/>
  </si>
  <si>
    <t>31/32, 11/32</t>
    <phoneticPr fontId="1" type="noConversion"/>
  </si>
  <si>
    <t>31/32, 3/8</t>
    <phoneticPr fontId="1" type="noConversion"/>
  </si>
  <si>
    <t>61/64, 3/8</t>
    <phoneticPr fontId="1" type="noConversion"/>
  </si>
  <si>
    <t>61/64, 13/32</t>
    <phoneticPr fontId="1" type="noConversion"/>
  </si>
  <si>
    <t>(α, β)</t>
    <phoneticPr fontId="1" type="noConversion"/>
  </si>
  <si>
    <t>×</t>
  </si>
  <si>
    <t>×</t>
    <phoneticPr fontId="1" type="noConversion"/>
  </si>
  <si>
    <t>硬件友好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</si>
</sst>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177" fontId="0" fillId="7" borderId="8" xfId="0" applyNumberFormat="1" applyFill="1" applyBorder="1" applyAlignment="1">
      <alignment horizontal="center" vertical="center"/>
    </xf>
    <xf numFmtId="176" fontId="0" fillId="7" borderId="9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177" fontId="0" fillId="7" borderId="3" xfId="0" applyNumberFormat="1" applyFill="1" applyBorder="1" applyAlignment="1">
      <alignment horizontal="center" vertical="center"/>
    </xf>
    <xf numFmtId="176" fontId="0" fillId="7" borderId="4" xfId="0" applyNumberFormat="1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77" fontId="0" fillId="8" borderId="1" xfId="0" applyNumberFormat="1" applyFill="1" applyBorder="1" applyAlignment="1">
      <alignment horizontal="center" vertical="center"/>
    </xf>
    <xf numFmtId="176" fontId="0" fillId="8" borderId="6" xfId="0" applyNumberForma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177" fontId="0" fillId="8" borderId="3" xfId="0" applyNumberFormat="1" applyFill="1" applyBorder="1" applyAlignment="1">
      <alignment horizontal="center" vertical="center"/>
    </xf>
    <xf numFmtId="176" fontId="0" fillId="8" borderId="4" xfId="0" applyNumberForma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6" borderId="22" xfId="0" applyNumberFormat="1" applyFont="1" applyFill="1" applyBorder="1" applyAlignment="1">
      <alignment horizontal="center" vertical="center"/>
    </xf>
    <xf numFmtId="0" fontId="2" fillId="9" borderId="21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3" fillId="9" borderId="22" xfId="0" applyNumberFormat="1" applyFont="1" applyFill="1" applyBorder="1" applyAlignment="1">
      <alignment horizontal="center" vertical="center"/>
    </xf>
    <xf numFmtId="0" fontId="3" fillId="6" borderId="22" xfId="0" applyNumberFormat="1" applyFont="1" applyFill="1" applyBorder="1" applyAlignment="1">
      <alignment horizontal="center" vertical="center"/>
    </xf>
    <xf numFmtId="0" fontId="3" fillId="6" borderId="23" xfId="0" applyNumberFormat="1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常规" xfId="0" builtinId="0"/>
  </cellStyles>
  <dxfs count="6"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0" formatCode="General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8E8ECFA7-D030-41EB-BC45-4E97B02D978B}" autoFormatId="16" applyNumberFormats="0" applyBorderFormats="0" applyFontFormats="0" applyPatternFormats="0" applyAlignmentFormats="0" applyWidthHeightFormats="0">
  <queryTableRefresh headersInLastRefresh="0" nextId="8" unboundColumnsRight="1">
    <queryTableFields count="4">
      <queryTableField id="1" name="Column1" tableColumnId="1"/>
      <queryTableField id="4" name="Column4" tableColumnId="4"/>
      <queryTableField id="5" name="Column5" tableColumnId="5"/>
      <queryTableField id="7" dataBound="0" tableColumnId="7"/>
    </queryTableFields>
    <queryTableDeletedFields count="2">
      <deletedField name="Column2"/>
      <deletedField name="Column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385A8F-590B-4B0D-9B2C-1D3D7D61937A}" name="Min_RMS_Err______0_947543636291_0_3" displayName="Min_RMS_Err______0_947543636291_0_3" ref="B3:E12" tableType="queryTable" headerRowCount="0" totalsRowShown="0" headerRowDxfId="4" dataDxfId="5">
  <tableColumns count="4">
    <tableColumn id="1" xr3:uid="{D5914C13-55C7-471C-AF85-C04079D091E6}" uniqueName="1" name="Column1" queryTableFieldId="1" dataDxfId="3"/>
    <tableColumn id="4" xr3:uid="{7F218151-FB75-4C58-88F3-1C2431484FB5}" uniqueName="4" name="Column4" queryTableFieldId="4" dataDxfId="2"/>
    <tableColumn id="5" xr3:uid="{D559B8C9-966A-42D2-86A0-08A8E9DB916A}" uniqueName="5" name="Column5" queryTableFieldId="5" dataDxfId="1"/>
    <tableColumn id="7" xr3:uid="{1206A97E-C672-41E7-8F9A-2925BEEAD7A4}" uniqueName="7" name="列2" queryTableFieldId="7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6038E-DAF9-4E17-819C-72E5FBFE927D}">
  <dimension ref="B1:H9"/>
  <sheetViews>
    <sheetView zoomScale="235" zoomScaleNormal="235" workbookViewId="0">
      <selection activeCell="B2" sqref="B2:H2"/>
    </sheetView>
  </sheetViews>
  <sheetFormatPr defaultRowHeight="13.8" x14ac:dyDescent="0.25"/>
  <cols>
    <col min="2" max="5" width="10.77734375" customWidth="1"/>
    <col min="6" max="8" width="15.77734375" customWidth="1"/>
  </cols>
  <sheetData>
    <row r="1" spans="2:8" ht="14.4" thickBot="1" x14ac:dyDescent="0.3"/>
    <row r="2" spans="2:8" ht="19.8" customHeight="1" thickBot="1" x14ac:dyDescent="0.3">
      <c r="B2" s="1" t="s">
        <v>0</v>
      </c>
      <c r="C2" s="2" t="s">
        <v>1</v>
      </c>
      <c r="D2" s="3" t="s">
        <v>2</v>
      </c>
      <c r="E2" s="3" t="s">
        <v>3</v>
      </c>
      <c r="F2" s="4" t="s">
        <v>4</v>
      </c>
      <c r="G2" s="4" t="s">
        <v>5</v>
      </c>
      <c r="H2" s="5" t="s">
        <v>6</v>
      </c>
    </row>
    <row r="3" spans="2:8" x14ac:dyDescent="0.25">
      <c r="B3" s="12">
        <v>2</v>
      </c>
      <c r="C3" s="13">
        <v>2</v>
      </c>
      <c r="D3" s="14">
        <v>3072</v>
      </c>
      <c r="E3" s="14">
        <v>3072</v>
      </c>
      <c r="F3" s="15">
        <f>_xlfn.CEILING.MATH(B3*C3*D3*E3*1.5/9)</f>
        <v>6291456</v>
      </c>
      <c r="G3" s="16">
        <f>F3*5*10^-9*1000</f>
        <v>31.457280000000004</v>
      </c>
      <c r="H3" s="17">
        <f>1000/G3</f>
        <v>31.789143880208329</v>
      </c>
    </row>
    <row r="4" spans="2:8" x14ac:dyDescent="0.25">
      <c r="B4" s="18">
        <v>2</v>
      </c>
      <c r="C4" s="19">
        <v>2</v>
      </c>
      <c r="D4" s="22">
        <v>2048</v>
      </c>
      <c r="E4" s="22">
        <v>2048</v>
      </c>
      <c r="F4" s="24">
        <f>_xlfn.CEILING.MATH(B4*C4*D4*E4*1.5/9)</f>
        <v>2796203</v>
      </c>
      <c r="G4" s="25">
        <f t="shared" ref="G4:G9" si="0">F4*5*10^-9*1000</f>
        <v>13.981015000000001</v>
      </c>
      <c r="H4" s="26">
        <f t="shared" ref="H4:H9" si="1">1000/G4</f>
        <v>71.52556520395693</v>
      </c>
    </row>
    <row r="5" spans="2:8" ht="14.4" thickBot="1" x14ac:dyDescent="0.3">
      <c r="B5" s="6">
        <v>2</v>
      </c>
      <c r="C5" s="7">
        <v>2</v>
      </c>
      <c r="D5" s="8">
        <v>1024</v>
      </c>
      <c r="E5" s="8">
        <v>1024</v>
      </c>
      <c r="F5" s="9">
        <f t="shared" ref="F5:F9" si="2">_xlfn.CEILING.MATH(B5*C5*D5*E5*1.5/9)</f>
        <v>699051</v>
      </c>
      <c r="G5" s="10">
        <f t="shared" si="0"/>
        <v>3.4952550000000002</v>
      </c>
      <c r="H5" s="11">
        <f t="shared" si="1"/>
        <v>286.10215849773476</v>
      </c>
    </row>
    <row r="6" spans="2:8" x14ac:dyDescent="0.25">
      <c r="B6" s="20">
        <v>4</v>
      </c>
      <c r="C6" s="21">
        <v>4</v>
      </c>
      <c r="D6" s="23">
        <v>512</v>
      </c>
      <c r="E6" s="23">
        <v>512</v>
      </c>
      <c r="F6" s="27">
        <f t="shared" si="2"/>
        <v>699051</v>
      </c>
      <c r="G6" s="28">
        <f t="shared" si="0"/>
        <v>3.4952550000000002</v>
      </c>
      <c r="H6" s="29">
        <f t="shared" si="1"/>
        <v>286.10215849773476</v>
      </c>
    </row>
    <row r="7" spans="2:8" ht="14.4" thickBot="1" x14ac:dyDescent="0.3">
      <c r="B7" s="6">
        <v>4</v>
      </c>
      <c r="C7" s="7">
        <v>4</v>
      </c>
      <c r="D7" s="8">
        <v>256</v>
      </c>
      <c r="E7" s="8">
        <v>192</v>
      </c>
      <c r="F7" s="9">
        <f t="shared" si="2"/>
        <v>131072</v>
      </c>
      <c r="G7" s="10">
        <f t="shared" si="0"/>
        <v>0.65536000000000005</v>
      </c>
      <c r="H7" s="11">
        <f t="shared" si="1"/>
        <v>1525.8789062499998</v>
      </c>
    </row>
    <row r="8" spans="2:8" x14ac:dyDescent="0.25">
      <c r="B8" s="20">
        <v>6</v>
      </c>
      <c r="C8" s="21">
        <v>6</v>
      </c>
      <c r="D8" s="23">
        <v>256</v>
      </c>
      <c r="E8" s="23">
        <v>256</v>
      </c>
      <c r="F8" s="27">
        <f t="shared" si="2"/>
        <v>393216</v>
      </c>
      <c r="G8" s="28">
        <f t="shared" si="0"/>
        <v>1.9660800000000003</v>
      </c>
      <c r="H8" s="29">
        <f t="shared" si="1"/>
        <v>508.62630208333326</v>
      </c>
    </row>
    <row r="9" spans="2:8" ht="14.4" thickBot="1" x14ac:dyDescent="0.3">
      <c r="B9" s="6">
        <v>6</v>
      </c>
      <c r="C9" s="7">
        <v>6</v>
      </c>
      <c r="D9" s="8">
        <v>128</v>
      </c>
      <c r="E9" s="8">
        <v>96</v>
      </c>
      <c r="F9" s="9">
        <f t="shared" si="2"/>
        <v>73728</v>
      </c>
      <c r="G9" s="10">
        <f t="shared" si="0"/>
        <v>0.36864000000000002</v>
      </c>
      <c r="H9" s="11">
        <f t="shared" si="1"/>
        <v>2712.6736111111109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BC2F9-4403-4788-92A9-C627742DC170}">
  <dimension ref="B1:J2"/>
  <sheetViews>
    <sheetView zoomScale="235" zoomScaleNormal="235" workbookViewId="0">
      <selection activeCell="B3" sqref="B3"/>
    </sheetView>
  </sheetViews>
  <sheetFormatPr defaultRowHeight="13.8" x14ac:dyDescent="0.25"/>
  <cols>
    <col min="6" max="6" width="11.6640625" bestFit="1" customWidth="1"/>
    <col min="7" max="7" width="13.88671875" bestFit="1" customWidth="1"/>
    <col min="8" max="8" width="9.6640625" bestFit="1" customWidth="1"/>
  </cols>
  <sheetData>
    <row r="1" spans="2:10" ht="14.4" thickBot="1" x14ac:dyDescent="0.3"/>
    <row r="2" spans="2:10" ht="14.4" thickBot="1" x14ac:dyDescent="0.3">
      <c r="B2" s="1" t="s">
        <v>0</v>
      </c>
      <c r="C2" s="2" t="s">
        <v>1</v>
      </c>
      <c r="D2" s="3" t="s">
        <v>2</v>
      </c>
      <c r="E2" s="3" t="s">
        <v>3</v>
      </c>
      <c r="F2" s="4" t="s">
        <v>7</v>
      </c>
      <c r="G2" s="4" t="s">
        <v>8</v>
      </c>
      <c r="H2" s="5" t="s">
        <v>9</v>
      </c>
      <c r="I2" s="30" t="s">
        <v>10</v>
      </c>
      <c r="J2" s="31" t="s">
        <v>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5A9A-840A-46C2-84C0-B78FC5921ED6}">
  <dimension ref="B1:E12"/>
  <sheetViews>
    <sheetView tabSelected="1" zoomScale="265" zoomScaleNormal="265" workbookViewId="0">
      <selection activeCell="G7" sqref="G7"/>
    </sheetView>
  </sheetViews>
  <sheetFormatPr defaultRowHeight="13.8" x14ac:dyDescent="0.25"/>
  <cols>
    <col min="1" max="1" width="8.88671875" style="32"/>
    <col min="2" max="2" width="15.77734375" style="32" customWidth="1"/>
    <col min="3" max="4" width="12.77734375" style="32" customWidth="1"/>
    <col min="5" max="5" width="10.77734375" style="32" customWidth="1"/>
    <col min="6" max="16384" width="8.88671875" style="32"/>
  </cols>
  <sheetData>
    <row r="1" spans="2:5" ht="14.4" thickBot="1" x14ac:dyDescent="0.3"/>
    <row r="2" spans="2:5" ht="14.4" thickBot="1" x14ac:dyDescent="0.3">
      <c r="B2" s="38" t="s">
        <v>25</v>
      </c>
      <c r="C2" s="40" t="s">
        <v>12</v>
      </c>
      <c r="D2" s="2" t="s">
        <v>13</v>
      </c>
      <c r="E2" s="5" t="s">
        <v>28</v>
      </c>
    </row>
    <row r="3" spans="2:5" x14ac:dyDescent="0.25">
      <c r="B3" s="37" t="s">
        <v>15</v>
      </c>
      <c r="C3" s="49">
        <v>-20.7</v>
      </c>
      <c r="D3" s="50">
        <v>-18.600000000000001</v>
      </c>
      <c r="E3" s="41" t="s">
        <v>14</v>
      </c>
    </row>
    <row r="4" spans="2:5" x14ac:dyDescent="0.25">
      <c r="B4" s="36" t="s">
        <v>16</v>
      </c>
      <c r="C4" s="51">
        <v>-27.6</v>
      </c>
      <c r="D4" s="52">
        <v>-18.7</v>
      </c>
      <c r="E4" s="43" t="s">
        <v>14</v>
      </c>
    </row>
    <row r="5" spans="2:5" x14ac:dyDescent="0.25">
      <c r="B5" s="46" t="s">
        <v>17</v>
      </c>
      <c r="C5" s="33">
        <v>-28</v>
      </c>
      <c r="D5" s="19">
        <v>-24.8</v>
      </c>
      <c r="E5" s="42" t="s">
        <v>27</v>
      </c>
    </row>
    <row r="6" spans="2:5" x14ac:dyDescent="0.25">
      <c r="B6" s="47" t="s">
        <v>18</v>
      </c>
      <c r="C6" s="34">
        <v>-26.4</v>
      </c>
      <c r="D6" s="35">
        <v>-23.4</v>
      </c>
      <c r="E6" s="44" t="s">
        <v>26</v>
      </c>
    </row>
    <row r="7" spans="2:5" x14ac:dyDescent="0.25">
      <c r="B7" s="46" t="s">
        <v>19</v>
      </c>
      <c r="C7" s="33">
        <v>-29.2</v>
      </c>
      <c r="D7" s="19">
        <v>-24.1</v>
      </c>
      <c r="E7" s="42" t="s">
        <v>27</v>
      </c>
    </row>
    <row r="8" spans="2:5" x14ac:dyDescent="0.25">
      <c r="B8" s="47" t="s">
        <v>20</v>
      </c>
      <c r="C8" s="34">
        <v>-26.9</v>
      </c>
      <c r="D8" s="35">
        <v>-24.1</v>
      </c>
      <c r="E8" s="44" t="s">
        <v>27</v>
      </c>
    </row>
    <row r="9" spans="2:5" x14ac:dyDescent="0.25">
      <c r="B9" s="46" t="s">
        <v>21</v>
      </c>
      <c r="C9" s="33">
        <v>-31.6</v>
      </c>
      <c r="D9" s="19">
        <v>-22.9</v>
      </c>
      <c r="E9" s="42" t="s">
        <v>27</v>
      </c>
    </row>
    <row r="10" spans="2:5" x14ac:dyDescent="0.25">
      <c r="B10" s="47" t="s">
        <v>22</v>
      </c>
      <c r="C10" s="34">
        <v>-31.4</v>
      </c>
      <c r="D10" s="35">
        <v>-26.1</v>
      </c>
      <c r="E10" s="44" t="s">
        <v>27</v>
      </c>
    </row>
    <row r="11" spans="2:5" x14ac:dyDescent="0.25">
      <c r="B11" s="46" t="s">
        <v>23</v>
      </c>
      <c r="C11" s="33">
        <v>-32.5</v>
      </c>
      <c r="D11" s="19">
        <v>-24.3</v>
      </c>
      <c r="E11" s="42" t="s">
        <v>27</v>
      </c>
    </row>
    <row r="12" spans="2:5" ht="14.4" thickBot="1" x14ac:dyDescent="0.3">
      <c r="B12" s="48" t="s">
        <v>24</v>
      </c>
      <c r="C12" s="39">
        <v>-31.8</v>
      </c>
      <c r="D12" s="7">
        <v>-26.6</v>
      </c>
      <c r="E12" s="45" t="s">
        <v>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05F74-A313-4E06-9599-49AE303DDB79}">
  <dimension ref="A1"/>
  <sheetViews>
    <sheetView workbookViewId="0">
      <selection activeCell="B2" sqref="B2"/>
    </sheetView>
  </sheetViews>
  <sheetFormatPr defaultRowHeight="13.8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2CA9D9-0FEB-47CF-83E1-05887376A5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幅值估计算法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Benjamin</dc:creator>
  <cp:lastModifiedBy>Yan Benjamin</cp:lastModifiedBy>
  <dcterms:created xsi:type="dcterms:W3CDTF">2025-05-19T17:19:14Z</dcterms:created>
  <dcterms:modified xsi:type="dcterms:W3CDTF">2025-05-20T02:59:25Z</dcterms:modified>
</cp:coreProperties>
</file>